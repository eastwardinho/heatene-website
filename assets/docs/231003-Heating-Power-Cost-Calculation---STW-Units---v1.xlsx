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ghtvn.sharepoint.com/sites/HeatENE/Shared Documents/General/HeatENE technical specification/"/>
    </mc:Choice>
  </mc:AlternateContent>
  <xr:revisionPtr revIDLastSave="3" documentId="8_{C62AC7D4-B8FE-4DAC-A12F-1885A42FA2FB}" xr6:coauthVersionLast="47" xr6:coauthVersionMax="47" xr10:uidLastSave="{9C4258D7-65D9-4088-9814-B9B48EE87898}"/>
  <bookViews>
    <workbookView xWindow="4995" yWindow="1605" windowWidth="21465" windowHeight="14655" xr2:uid="{FBBFEF36-8438-4A82-B75A-0ED3882B5AC0}"/>
  </bookViews>
  <sheets>
    <sheet name="Heating Calcul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L6" i="1"/>
  <c r="M6" i="1"/>
  <c r="N6" i="1"/>
  <c r="F31" i="1"/>
  <c r="F22" i="1"/>
  <c r="F29" i="1"/>
  <c r="G29" i="1" s="1"/>
  <c r="J29" i="1" s="1"/>
  <c r="L29" i="1" s="1"/>
  <c r="M29" i="1" s="1"/>
  <c r="N29" i="1" s="1"/>
  <c r="F28" i="1"/>
  <c r="D32" i="1"/>
  <c r="I31" i="1"/>
  <c r="G31" i="1"/>
  <c r="J31" i="1" s="1"/>
  <c r="L31" i="1" s="1"/>
  <c r="M31" i="1" s="1"/>
  <c r="N31" i="1" s="1"/>
  <c r="E31" i="1"/>
  <c r="P31" i="1" s="1"/>
  <c r="Q31" i="1" s="1"/>
  <c r="R31" i="1" s="1"/>
  <c r="I30" i="1"/>
  <c r="F30" i="1"/>
  <c r="G30" i="1" s="1"/>
  <c r="J30" i="1" s="1"/>
  <c r="L30" i="1" s="1"/>
  <c r="M30" i="1" s="1"/>
  <c r="N30" i="1" s="1"/>
  <c r="E30" i="1"/>
  <c r="P30" i="1" s="1"/>
  <c r="Q30" i="1" s="1"/>
  <c r="I29" i="1"/>
  <c r="E29" i="1"/>
  <c r="P29" i="1" s="1"/>
  <c r="Q29" i="1" s="1"/>
  <c r="I28" i="1"/>
  <c r="G28" i="1"/>
  <c r="J28" i="1" s="1"/>
  <c r="L28" i="1" s="1"/>
  <c r="M28" i="1" s="1"/>
  <c r="N28" i="1" s="1"/>
  <c r="E28" i="1"/>
  <c r="P28" i="1" s="1"/>
  <c r="Q28" i="1" s="1"/>
  <c r="R28" i="1" s="1"/>
  <c r="I27" i="1"/>
  <c r="F27" i="1"/>
  <c r="G27" i="1" s="1"/>
  <c r="E27" i="1"/>
  <c r="E32" i="1" s="1"/>
  <c r="F23" i="1"/>
  <c r="F24" i="1"/>
  <c r="F21" i="1"/>
  <c r="F20" i="1"/>
  <c r="F17" i="1"/>
  <c r="F16" i="1"/>
  <c r="F15" i="1"/>
  <c r="F14" i="1"/>
  <c r="R29" i="1" l="1"/>
  <c r="G32" i="1"/>
  <c r="J27" i="1"/>
  <c r="L27" i="1" s="1"/>
  <c r="R30" i="1"/>
  <c r="P27" i="1"/>
  <c r="L32" i="1" l="1"/>
  <c r="M27" i="1"/>
  <c r="P32" i="1"/>
  <c r="Q27" i="1"/>
  <c r="Q32" i="1" l="1"/>
  <c r="M32" i="1"/>
  <c r="N27" i="1"/>
  <c r="N32" i="1" s="1"/>
  <c r="R27" i="1" l="1"/>
  <c r="R32" i="1" s="1"/>
  <c r="F11" i="1" l="1"/>
  <c r="G11" i="1" s="1"/>
  <c r="F9" i="1"/>
  <c r="G9" i="1" s="1"/>
  <c r="F6" i="1"/>
  <c r="G6" i="1" s="1"/>
  <c r="F4" i="1"/>
  <c r="G4" i="1" s="1"/>
  <c r="G16" i="1"/>
  <c r="G17" i="1"/>
  <c r="G22" i="1"/>
  <c r="G23" i="1"/>
  <c r="G24" i="1"/>
  <c r="G21" i="1"/>
  <c r="G20" i="1"/>
  <c r="G15" i="1"/>
  <c r="G14" i="1"/>
  <c r="G10" i="1"/>
  <c r="G5" i="1"/>
  <c r="E4" i="1"/>
  <c r="D12" i="1"/>
  <c r="D18" i="1"/>
  <c r="D25" i="1"/>
  <c r="D7" i="1"/>
  <c r="I23" i="1"/>
  <c r="E23" i="1"/>
  <c r="I24" i="1"/>
  <c r="E24" i="1"/>
  <c r="I22" i="1"/>
  <c r="E22" i="1"/>
  <c r="I21" i="1"/>
  <c r="E21" i="1"/>
  <c r="I20" i="1"/>
  <c r="E20" i="1"/>
  <c r="I16" i="1"/>
  <c r="E16" i="1"/>
  <c r="I17" i="1"/>
  <c r="E17" i="1"/>
  <c r="I15" i="1"/>
  <c r="E15" i="1"/>
  <c r="P15" i="1" s="1"/>
  <c r="Q15" i="1" s="1"/>
  <c r="I14" i="1"/>
  <c r="E14" i="1"/>
  <c r="I11" i="1"/>
  <c r="E11" i="1"/>
  <c r="P11" i="1" s="1"/>
  <c r="Q11" i="1" s="1"/>
  <c r="I10" i="1"/>
  <c r="E10" i="1"/>
  <c r="I9" i="1"/>
  <c r="E9" i="1"/>
  <c r="E5" i="1"/>
  <c r="E6" i="1"/>
  <c r="I5" i="1"/>
  <c r="I6" i="1"/>
  <c r="I4" i="1"/>
  <c r="J4" i="1" l="1"/>
  <c r="L4" i="1" s="1"/>
  <c r="P5" i="1"/>
  <c r="Q5" i="1" s="1"/>
  <c r="P10" i="1"/>
  <c r="Q10" i="1" s="1"/>
  <c r="P22" i="1"/>
  <c r="Q22" i="1" s="1"/>
  <c r="P24" i="1"/>
  <c r="Q24" i="1" s="1"/>
  <c r="P16" i="1"/>
  <c r="Q16" i="1" s="1"/>
  <c r="P4" i="1"/>
  <c r="Q4" i="1" s="1"/>
  <c r="P9" i="1"/>
  <c r="P21" i="1"/>
  <c r="Q21" i="1" s="1"/>
  <c r="P23" i="1"/>
  <c r="Q23" i="1" s="1"/>
  <c r="P6" i="1"/>
  <c r="Q6" i="1" s="1"/>
  <c r="P14" i="1"/>
  <c r="Q14" i="1" s="1"/>
  <c r="P17" i="1"/>
  <c r="Q17" i="1" s="1"/>
  <c r="P20" i="1"/>
  <c r="Q20" i="1" s="1"/>
  <c r="J14" i="1"/>
  <c r="L14" i="1" s="1"/>
  <c r="M14" i="1" s="1"/>
  <c r="J9" i="1"/>
  <c r="L9" i="1" s="1"/>
  <c r="J20" i="1"/>
  <c r="L20" i="1" s="1"/>
  <c r="J21" i="1"/>
  <c r="L21" i="1" s="1"/>
  <c r="M21" i="1" s="1"/>
  <c r="J15" i="1"/>
  <c r="L15" i="1" s="1"/>
  <c r="M15" i="1" s="1"/>
  <c r="N15" i="1" s="1"/>
  <c r="R15" i="1" s="1"/>
  <c r="J22" i="1"/>
  <c r="L22" i="1" s="1"/>
  <c r="M22" i="1" s="1"/>
  <c r="N22" i="1" s="1"/>
  <c r="R22" i="1" s="1"/>
  <c r="J10" i="1"/>
  <c r="L10" i="1" s="1"/>
  <c r="M10" i="1" s="1"/>
  <c r="J11" i="1"/>
  <c r="L11" i="1" s="1"/>
  <c r="M11" i="1" s="1"/>
  <c r="N11" i="1" s="1"/>
  <c r="R11" i="1" s="1"/>
  <c r="J5" i="1"/>
  <c r="L5" i="1" s="1"/>
  <c r="J17" i="1"/>
  <c r="L17" i="1" s="1"/>
  <c r="M17" i="1" s="1"/>
  <c r="J16" i="1"/>
  <c r="L16" i="1" s="1"/>
  <c r="M16" i="1" s="1"/>
  <c r="J24" i="1"/>
  <c r="L24" i="1" s="1"/>
  <c r="M24" i="1" s="1"/>
  <c r="N24" i="1" s="1"/>
  <c r="J23" i="1"/>
  <c r="L23" i="1" s="1"/>
  <c r="M23" i="1" s="1"/>
  <c r="N23" i="1" s="1"/>
  <c r="E25" i="1"/>
  <c r="G25" i="1"/>
  <c r="E7" i="1"/>
  <c r="E12" i="1"/>
  <c r="E18" i="1"/>
  <c r="G12" i="1"/>
  <c r="G18" i="1"/>
  <c r="R23" i="1" l="1"/>
  <c r="P7" i="1"/>
  <c r="R24" i="1"/>
  <c r="N4" i="1"/>
  <c r="R4" i="1" s="1"/>
  <c r="M4" i="1"/>
  <c r="M5" i="1"/>
  <c r="N5" i="1"/>
  <c r="R5" i="1" s="1"/>
  <c r="Q7" i="1"/>
  <c r="P12" i="1"/>
  <c r="Q9" i="1"/>
  <c r="M18" i="1"/>
  <c r="P25" i="1"/>
  <c r="Q18" i="1"/>
  <c r="P18" i="1"/>
  <c r="N17" i="1"/>
  <c r="R17" i="1" s="1"/>
  <c r="N10" i="1"/>
  <c r="R10" i="1" s="1"/>
  <c r="N21" i="1"/>
  <c r="R21" i="1" s="1"/>
  <c r="N16" i="1"/>
  <c r="R16" i="1" s="1"/>
  <c r="L25" i="1"/>
  <c r="M20" i="1"/>
  <c r="M25" i="1" s="1"/>
  <c r="L12" i="1"/>
  <c r="M9" i="1"/>
  <c r="L18" i="1"/>
  <c r="G7" i="1"/>
  <c r="N14" i="1"/>
  <c r="R14" i="1" s="1"/>
  <c r="R18" i="1" l="1"/>
  <c r="R6" i="1"/>
  <c r="R7" i="1" s="1"/>
  <c r="Q12" i="1"/>
  <c r="Q25" i="1"/>
  <c r="M12" i="1"/>
  <c r="N18" i="1"/>
  <c r="N9" i="1"/>
  <c r="N12" i="1" s="1"/>
  <c r="N20" i="1"/>
  <c r="L7" i="1"/>
  <c r="N25" i="1" l="1"/>
  <c r="R20" i="1"/>
  <c r="R25" i="1" s="1"/>
  <c r="R9" i="1"/>
  <c r="R12" i="1" s="1"/>
  <c r="N7" i="1"/>
  <c r="M7" i="1"/>
</calcChain>
</file>

<file path=xl/sharedStrings.xml><?xml version="1.0" encoding="utf-8"?>
<sst xmlns="http://schemas.openxmlformats.org/spreadsheetml/2006/main" count="44" uniqueCount="35">
  <si>
    <t>STW Unit</t>
  </si>
  <si>
    <t>Room</t>
  </si>
  <si>
    <t>Room Size m2</t>
  </si>
  <si>
    <t>Conventional Suggest Heat @ 100w/m2</t>
  </si>
  <si>
    <t>Heated Walls m</t>
  </si>
  <si>
    <t>Watts / Room</t>
  </si>
  <si>
    <t>House Passivity</t>
  </si>
  <si>
    <t>Hours of Use / Day</t>
  </si>
  <si>
    <t>kWh/Day</t>
  </si>
  <si>
    <t>Cost/kWh</t>
  </si>
  <si>
    <t>Cost/Day</t>
  </si>
  <si>
    <t>Cost / Month</t>
  </si>
  <si>
    <t>Cost / Year</t>
  </si>
  <si>
    <t>VIGHT HEATING SAVING</t>
  </si>
  <si>
    <t>1B-L1</t>
  </si>
  <si>
    <t>A</t>
  </si>
  <si>
    <t>B</t>
  </si>
  <si>
    <t>C1</t>
  </si>
  <si>
    <t>1B-L2</t>
  </si>
  <si>
    <t>C2</t>
  </si>
  <si>
    <t>2B-L1</t>
  </si>
  <si>
    <t>D</t>
  </si>
  <si>
    <t>E</t>
  </si>
  <si>
    <t>2B-L2</t>
  </si>
  <si>
    <t>F</t>
  </si>
  <si>
    <t>G</t>
  </si>
  <si>
    <t>3B-L1</t>
  </si>
  <si>
    <t>H</t>
  </si>
  <si>
    <t>I</t>
  </si>
  <si>
    <t>3B-L2</t>
  </si>
  <si>
    <t>J</t>
  </si>
  <si>
    <t>K</t>
  </si>
  <si>
    <t>L</t>
  </si>
  <si>
    <t>3B-R-1</t>
  </si>
  <si>
    <t>3B-R-2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</si>
</sst>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[$£-809]* #,##0.00_-;\-[$£-809]* #,##0.00_-;_-[$£-809]* &quot;-&quot;??_-;_-@_-"/>
    <numFmt numFmtId="166" formatCode="_-* #,##0_-;\-* #,##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 wrapText="1"/>
    </xf>
    <xf numFmtId="166" fontId="0" fillId="0" borderId="0" xfId="2" applyNumberFormat="1" applyFont="1" applyAlignment="1">
      <alignment horizontal="center" vertical="center" wrapText="1"/>
    </xf>
    <xf numFmtId="166" fontId="2" fillId="0" borderId="13" xfId="2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6" fontId="0" fillId="0" borderId="1" xfId="2" applyNumberFormat="1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164" fontId="0" fillId="0" borderId="1" xfId="2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6" fontId="0" fillId="0" borderId="3" xfId="2" applyNumberFormat="1" applyFont="1" applyBorder="1" applyAlignment="1">
      <alignment horizontal="center" vertical="center" wrapText="1"/>
    </xf>
    <xf numFmtId="9" fontId="0" fillId="0" borderId="3" xfId="1" applyFont="1" applyBorder="1" applyAlignment="1">
      <alignment horizontal="center" vertical="center" wrapText="1"/>
    </xf>
    <xf numFmtId="164" fontId="0" fillId="0" borderId="3" xfId="2" applyFont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66" fontId="0" fillId="0" borderId="8" xfId="2" applyNumberFormat="1" applyFont="1" applyBorder="1" applyAlignment="1">
      <alignment horizontal="center" vertical="center" wrapText="1"/>
    </xf>
    <xf numFmtId="9" fontId="0" fillId="0" borderId="8" xfId="1" applyFont="1" applyBorder="1" applyAlignment="1">
      <alignment horizontal="center" vertical="center" wrapText="1"/>
    </xf>
    <xf numFmtId="164" fontId="0" fillId="0" borderId="8" xfId="2" applyFont="1" applyBorder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164" fontId="2" fillId="0" borderId="13" xfId="2" applyFont="1" applyBorder="1" applyAlignment="1">
      <alignment horizontal="center" vertical="center" wrapText="1"/>
    </xf>
    <xf numFmtId="164" fontId="0" fillId="0" borderId="2" xfId="2" applyFont="1" applyBorder="1" applyAlignment="1">
      <alignment horizontal="center" vertical="center" wrapText="1"/>
    </xf>
    <xf numFmtId="164" fontId="0" fillId="0" borderId="5" xfId="2" applyFont="1" applyBorder="1" applyAlignment="1">
      <alignment horizontal="center" vertical="center" wrapText="1"/>
    </xf>
    <xf numFmtId="164" fontId="0" fillId="0" borderId="7" xfId="2" applyFont="1" applyBorder="1" applyAlignment="1">
      <alignment horizontal="center" vertical="center" wrapText="1"/>
    </xf>
    <xf numFmtId="166" fontId="0" fillId="0" borderId="3" xfId="2" applyNumberFormat="1" applyFont="1" applyBorder="1" applyAlignment="1">
      <alignment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37A0-1080-4759-87A0-D7BBBBBC69AA}">
  <dimension ref="B1:R32"/>
  <sheetViews>
    <sheetView tabSelected="1" zoomScale="90" zoomScaleNormal="90" workbookViewId="0">
      <selection activeCell="O4" sqref="O4"/>
    </sheetView>
  </sheetViews>
  <sheetFormatPr defaultColWidth="8.85546875" defaultRowHeight="15"/>
  <cols>
    <col min="1" max="3" width="8.85546875" style="1"/>
    <col min="4" max="4" width="10.5703125" style="1" customWidth="1"/>
    <col min="5" max="5" width="12.7109375" style="1" customWidth="1"/>
    <col min="6" max="6" width="9" style="1" bestFit="1" customWidth="1"/>
    <col min="7" max="7" width="10.28515625" style="1" bestFit="1" customWidth="1"/>
    <col min="8" max="8" width="8.85546875" style="1"/>
    <col min="9" max="9" width="12.140625" style="1" customWidth="1"/>
    <col min="10" max="11" width="10.7109375" style="1" customWidth="1"/>
    <col min="12" max="12" width="8.85546875" style="1"/>
    <col min="13" max="13" width="9.85546875" style="1" customWidth="1"/>
    <col min="14" max="14" width="13.7109375" style="1" customWidth="1"/>
    <col min="15" max="15" width="11.42578125" style="1" customWidth="1"/>
    <col min="16" max="16" width="10.7109375" style="29" customWidth="1"/>
    <col min="17" max="21" width="14.42578125" style="1" customWidth="1"/>
    <col min="22" max="16384" width="8.85546875" style="1"/>
  </cols>
  <sheetData>
    <row r="1" spans="2:18" ht="15.75" thickBot="1"/>
    <row r="2" spans="2:18" ht="60.75" thickBot="1"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4" t="s">
        <v>12</v>
      </c>
      <c r="P2" s="2" t="s">
        <v>8</v>
      </c>
      <c r="Q2" s="3" t="s">
        <v>12</v>
      </c>
      <c r="R2" s="4" t="s">
        <v>13</v>
      </c>
    </row>
    <row r="3" spans="2:18" ht="15.75" thickBot="1">
      <c r="E3" s="1">
        <v>70</v>
      </c>
      <c r="G3" s="1">
        <v>70</v>
      </c>
    </row>
    <row r="4" spans="2:18" ht="15.75" thickBot="1">
      <c r="B4" s="38" t="s">
        <v>14</v>
      </c>
      <c r="C4" s="5" t="s">
        <v>15</v>
      </c>
      <c r="D4" s="21">
        <v>14</v>
      </c>
      <c r="E4" s="34">
        <f>D4*$E$3</f>
        <v>980</v>
      </c>
      <c r="F4" s="35">
        <f>2.75+4.25+2.75</f>
        <v>9.75</v>
      </c>
      <c r="G4" s="34">
        <f>$G$3*F4</f>
        <v>682.5</v>
      </c>
      <c r="H4" s="23">
        <v>0.75</v>
      </c>
      <c r="I4" s="5">
        <f>FLOOR(24*(1-H4),1)</f>
        <v>6</v>
      </c>
      <c r="J4" s="24">
        <f>(G4/1000)*I4</f>
        <v>4.0949999999999998</v>
      </c>
      <c r="K4" s="8">
        <v>0.33</v>
      </c>
      <c r="L4" s="8">
        <f>J4*K4</f>
        <v>1.3513500000000001</v>
      </c>
      <c r="M4" s="8">
        <f>L4*30</f>
        <v>40.540500000000002</v>
      </c>
      <c r="N4" s="9">
        <f>L4*365</f>
        <v>493.24275</v>
      </c>
      <c r="P4" s="31">
        <f>(E4/1000)*I4</f>
        <v>5.88</v>
      </c>
      <c r="Q4" s="8">
        <f>K4*(P4*365)</f>
        <v>708.24599999999998</v>
      </c>
      <c r="R4" s="9">
        <f>Q4-N4</f>
        <v>215.00324999999998</v>
      </c>
    </row>
    <row r="5" spans="2:18">
      <c r="B5" s="39"/>
      <c r="C5" s="6" t="s">
        <v>16</v>
      </c>
      <c r="D5" s="17">
        <v>4</v>
      </c>
      <c r="E5" s="18">
        <f t="shared" ref="E5:E6" si="0">D5*$E$3</f>
        <v>280</v>
      </c>
      <c r="F5" s="36">
        <v>2.5</v>
      </c>
      <c r="G5" s="18">
        <f t="shared" ref="G5:G6" si="1">$G$3*F5</f>
        <v>175</v>
      </c>
      <c r="H5" s="19">
        <v>0.75</v>
      </c>
      <c r="I5" s="6">
        <f t="shared" ref="I5:I24" si="2">FLOOR(24*(1-H5),1)</f>
        <v>6</v>
      </c>
      <c r="J5" s="20">
        <f t="shared" ref="J5:J6" si="3">(G5/1000)*I5</f>
        <v>1.0499999999999998</v>
      </c>
      <c r="K5" s="10">
        <v>0.33</v>
      </c>
      <c r="L5" s="10">
        <f t="shared" ref="L5:L6" si="4">J5*K5</f>
        <v>0.34649999999999997</v>
      </c>
      <c r="M5" s="10">
        <f t="shared" ref="M5:M24" si="5">L5*30</f>
        <v>10.395</v>
      </c>
      <c r="N5" s="9">
        <f>L5*365</f>
        <v>126.4725</v>
      </c>
      <c r="P5" s="32">
        <f>(E5/1000)*I5</f>
        <v>1.6800000000000002</v>
      </c>
      <c r="Q5" s="10">
        <f>K5*(P5*365)</f>
        <v>202.35600000000002</v>
      </c>
      <c r="R5" s="11">
        <f t="shared" ref="R5:R6" si="6">Q5-N5</f>
        <v>75.883500000000026</v>
      </c>
    </row>
    <row r="6" spans="2:18">
      <c r="B6" s="40"/>
      <c r="C6" s="7" t="s">
        <v>17</v>
      </c>
      <c r="D6" s="25">
        <v>25</v>
      </c>
      <c r="E6" s="26">
        <f t="shared" si="0"/>
        <v>1750</v>
      </c>
      <c r="F6" s="37">
        <f>5.25+1.75+2.75</f>
        <v>9.75</v>
      </c>
      <c r="G6" s="26">
        <f t="shared" si="1"/>
        <v>682.5</v>
      </c>
      <c r="H6" s="27">
        <v>0.75</v>
      </c>
      <c r="I6" s="7">
        <f t="shared" si="2"/>
        <v>6</v>
      </c>
      <c r="J6" s="20">
        <f t="shared" si="3"/>
        <v>4.0949999999999998</v>
      </c>
      <c r="K6" s="12">
        <v>0.33</v>
      </c>
      <c r="L6" s="10">
        <f t="shared" ref="L6" si="7">J6*K6</f>
        <v>1.3513500000000001</v>
      </c>
      <c r="M6" s="10">
        <f t="shared" ref="M6" si="8">L6*30</f>
        <v>40.540500000000002</v>
      </c>
      <c r="N6" s="9">
        <f>L6*365</f>
        <v>493.24275</v>
      </c>
      <c r="P6" s="33">
        <f>(E6/1000)*I6</f>
        <v>10.5</v>
      </c>
      <c r="Q6" s="12">
        <f>K6*(P6*365)</f>
        <v>1264.7250000000001</v>
      </c>
      <c r="R6" s="13">
        <f t="shared" si="6"/>
        <v>771.48225000000014</v>
      </c>
    </row>
    <row r="7" spans="2:18">
      <c r="D7" s="15">
        <f>SUM(D3:D6)</f>
        <v>43</v>
      </c>
      <c r="E7" s="15">
        <f>SUM(E3:E6)</f>
        <v>3080</v>
      </c>
      <c r="F7" s="14"/>
      <c r="G7" s="15">
        <f>SUM(G4:G6)</f>
        <v>1540</v>
      </c>
      <c r="L7" s="16">
        <f>SUM(L4:L6)</f>
        <v>3.0491999999999999</v>
      </c>
      <c r="M7" s="16">
        <f>SUM(M4:M6)</f>
        <v>91.475999999999999</v>
      </c>
      <c r="N7" s="16">
        <f>SUM(N4:N6)</f>
        <v>1112.9580000000001</v>
      </c>
      <c r="P7" s="30">
        <f>SUM(P4:P6)</f>
        <v>18.060000000000002</v>
      </c>
      <c r="Q7" s="16">
        <f>SUM(Q4:Q6)</f>
        <v>2175.3270000000002</v>
      </c>
      <c r="R7" s="16">
        <f>SUM(R4:R6)</f>
        <v>1062.3690000000001</v>
      </c>
    </row>
    <row r="8" spans="2:18" ht="15.75" thickBot="1"/>
    <row r="9" spans="2:18">
      <c r="B9" s="38" t="s">
        <v>18</v>
      </c>
      <c r="C9" s="5" t="s">
        <v>15</v>
      </c>
      <c r="D9" s="21">
        <v>14</v>
      </c>
      <c r="E9" s="22">
        <f>D9*$E$3</f>
        <v>980</v>
      </c>
      <c r="F9" s="35">
        <f>2.75+4.25+2.75</f>
        <v>9.75</v>
      </c>
      <c r="G9" s="34">
        <f>$G$3*F9</f>
        <v>682.5</v>
      </c>
      <c r="H9" s="23">
        <v>0.75</v>
      </c>
      <c r="I9" s="5">
        <f>FLOOR(24*(1-H9),1)</f>
        <v>6</v>
      </c>
      <c r="J9" s="24">
        <f>(G9/1000)*I9</f>
        <v>4.0949999999999998</v>
      </c>
      <c r="K9" s="8">
        <v>0.33</v>
      </c>
      <c r="L9" s="8">
        <f>J9*K9</f>
        <v>1.3513500000000001</v>
      </c>
      <c r="M9" s="8">
        <f>L9*30</f>
        <v>40.540500000000002</v>
      </c>
      <c r="N9" s="9">
        <f>M9*12</f>
        <v>486.48599999999999</v>
      </c>
      <c r="P9" s="31">
        <f>(E9/1000)*I9</f>
        <v>5.88</v>
      </c>
      <c r="Q9" s="8">
        <f>K9*(P9*365)</f>
        <v>708.24599999999998</v>
      </c>
      <c r="R9" s="9">
        <f>Q9-N9</f>
        <v>221.76</v>
      </c>
    </row>
    <row r="10" spans="2:18">
      <c r="B10" s="39"/>
      <c r="C10" s="6" t="s">
        <v>16</v>
      </c>
      <c r="D10" s="17">
        <v>4</v>
      </c>
      <c r="E10" s="18">
        <f t="shared" ref="E10:E11" si="9">D10*$E$3</f>
        <v>280</v>
      </c>
      <c r="F10" s="36">
        <v>2.5</v>
      </c>
      <c r="G10" s="18">
        <f t="shared" ref="G10:G11" si="10">$G$3*F10</f>
        <v>175</v>
      </c>
      <c r="H10" s="19">
        <v>0.75</v>
      </c>
      <c r="I10" s="6">
        <f t="shared" si="2"/>
        <v>6</v>
      </c>
      <c r="J10" s="20">
        <f t="shared" ref="J10:J11" si="11">(G10/1000)*I10</f>
        <v>1.0499999999999998</v>
      </c>
      <c r="K10" s="10">
        <v>0.33</v>
      </c>
      <c r="L10" s="10">
        <f t="shared" ref="L10:L11" si="12">J10*K10</f>
        <v>0.34649999999999997</v>
      </c>
      <c r="M10" s="10">
        <f t="shared" si="5"/>
        <v>10.395</v>
      </c>
      <c r="N10" s="11">
        <f>M10*12</f>
        <v>124.74</v>
      </c>
      <c r="P10" s="32">
        <f>(E10/1000)*I10</f>
        <v>1.6800000000000002</v>
      </c>
      <c r="Q10" s="10">
        <f>K10*(P10*365)</f>
        <v>202.35600000000002</v>
      </c>
      <c r="R10" s="11">
        <f t="shared" ref="R10:R11" si="13">Q10-N10</f>
        <v>77.616000000000028</v>
      </c>
    </row>
    <row r="11" spans="2:18" ht="15.75" thickBot="1">
      <c r="B11" s="40"/>
      <c r="C11" s="7" t="s">
        <v>19</v>
      </c>
      <c r="D11" s="25">
        <v>25</v>
      </c>
      <c r="E11" s="26">
        <f t="shared" si="9"/>
        <v>1750</v>
      </c>
      <c r="F11" s="37">
        <f>5.25+4.25+2.75</f>
        <v>12.25</v>
      </c>
      <c r="G11" s="26">
        <f t="shared" si="10"/>
        <v>857.5</v>
      </c>
      <c r="H11" s="27">
        <v>0.75</v>
      </c>
      <c r="I11" s="7">
        <f t="shared" si="2"/>
        <v>6</v>
      </c>
      <c r="J11" s="28">
        <f t="shared" si="11"/>
        <v>5.1450000000000005</v>
      </c>
      <c r="K11" s="12">
        <v>0.33</v>
      </c>
      <c r="L11" s="12">
        <f t="shared" si="12"/>
        <v>1.6978500000000003</v>
      </c>
      <c r="M11" s="12">
        <f t="shared" si="5"/>
        <v>50.935500000000012</v>
      </c>
      <c r="N11" s="13">
        <f>M11*12</f>
        <v>611.22600000000011</v>
      </c>
      <c r="P11" s="33">
        <f>(E11/1000)*I11</f>
        <v>10.5</v>
      </c>
      <c r="Q11" s="12">
        <f>K11*(P11*365)</f>
        <v>1264.7250000000001</v>
      </c>
      <c r="R11" s="13">
        <f t="shared" si="13"/>
        <v>653.49900000000002</v>
      </c>
    </row>
    <row r="12" spans="2:18">
      <c r="D12" s="15">
        <f>SUM(D9:D11)</f>
        <v>43</v>
      </c>
      <c r="E12" s="15">
        <f>SUM(E9:E11)</f>
        <v>3010</v>
      </c>
      <c r="F12" s="14"/>
      <c r="G12" s="15">
        <f>SUM(G9:G11)</f>
        <v>1715</v>
      </c>
      <c r="L12" s="16">
        <f>SUM(L9:L11)</f>
        <v>3.3957000000000006</v>
      </c>
      <c r="M12" s="16">
        <f>SUM(M9:M11)</f>
        <v>101.87100000000001</v>
      </c>
      <c r="N12" s="16">
        <f>SUM(N9:N11)</f>
        <v>1222.4520000000002</v>
      </c>
      <c r="P12" s="30">
        <f>SUM(P9:P11)</f>
        <v>18.060000000000002</v>
      </c>
      <c r="Q12" s="16">
        <f>SUM(Q9:Q11)</f>
        <v>2175.3270000000002</v>
      </c>
      <c r="R12" s="16">
        <f>SUM(R9:R11)</f>
        <v>952.875</v>
      </c>
    </row>
    <row r="13" spans="2:18" ht="15.75" thickBot="1"/>
    <row r="14" spans="2:18">
      <c r="B14" s="38" t="s">
        <v>20</v>
      </c>
      <c r="C14" s="5" t="s">
        <v>21</v>
      </c>
      <c r="D14" s="21">
        <v>4</v>
      </c>
      <c r="E14" s="22">
        <f>D14*$E$3</f>
        <v>280</v>
      </c>
      <c r="F14" s="35">
        <f>1.75+0.75</f>
        <v>2.5</v>
      </c>
      <c r="G14" s="34">
        <f>$G$3*F14</f>
        <v>175</v>
      </c>
      <c r="H14" s="23">
        <v>0.75</v>
      </c>
      <c r="I14" s="5">
        <f>FLOOR(24*(1-H14),1)</f>
        <v>6</v>
      </c>
      <c r="J14" s="24">
        <f>(G14/1000)*I14</f>
        <v>1.0499999999999998</v>
      </c>
      <c r="K14" s="8">
        <v>0.33</v>
      </c>
      <c r="L14" s="8">
        <f>J14*K14</f>
        <v>0.34649999999999997</v>
      </c>
      <c r="M14" s="8">
        <f>L14*30</f>
        <v>10.395</v>
      </c>
      <c r="N14" s="9">
        <f>M14*12</f>
        <v>124.74</v>
      </c>
      <c r="P14" s="31">
        <f>(E14/1000)*I14</f>
        <v>1.6800000000000002</v>
      </c>
      <c r="Q14" s="8">
        <f>K14*(P14*365)</f>
        <v>202.35600000000002</v>
      </c>
      <c r="R14" s="9">
        <f>Q14-N14</f>
        <v>77.616000000000028</v>
      </c>
    </row>
    <row r="15" spans="2:18">
      <c r="B15" s="39"/>
      <c r="C15" s="6" t="s">
        <v>22</v>
      </c>
      <c r="D15" s="17">
        <v>28</v>
      </c>
      <c r="E15" s="18">
        <f t="shared" ref="E15:E17" si="14">D15*$E$3</f>
        <v>1960</v>
      </c>
      <c r="F15" s="36">
        <f>1.75+4.25+4+1.75</f>
        <v>11.75</v>
      </c>
      <c r="G15" s="18">
        <f t="shared" ref="G15:G17" si="15">$G$3*F15</f>
        <v>822.5</v>
      </c>
      <c r="H15" s="19">
        <v>0.75</v>
      </c>
      <c r="I15" s="6">
        <f t="shared" si="2"/>
        <v>6</v>
      </c>
      <c r="J15" s="20">
        <f t="shared" ref="J15:J16" si="16">(G15/1000)*I15</f>
        <v>4.9350000000000005</v>
      </c>
      <c r="K15" s="10">
        <v>0.33</v>
      </c>
      <c r="L15" s="10">
        <f t="shared" ref="L15:L17" si="17">J15*K15</f>
        <v>1.6285500000000002</v>
      </c>
      <c r="M15" s="10">
        <f t="shared" si="5"/>
        <v>48.856500000000004</v>
      </c>
      <c r="N15" s="11">
        <f>M15*12</f>
        <v>586.27800000000002</v>
      </c>
      <c r="P15" s="32">
        <f>(E15/1000)*I15</f>
        <v>11.76</v>
      </c>
      <c r="Q15" s="10">
        <f>K15*(P15*365)</f>
        <v>1416.492</v>
      </c>
      <c r="R15" s="11">
        <f t="shared" ref="R15:R17" si="18">Q15-N15</f>
        <v>830.21399999999994</v>
      </c>
    </row>
    <row r="16" spans="2:18">
      <c r="B16" s="39" t="s">
        <v>23</v>
      </c>
      <c r="C16" s="6" t="s">
        <v>24</v>
      </c>
      <c r="D16" s="17">
        <v>14</v>
      </c>
      <c r="E16" s="18">
        <f t="shared" si="14"/>
        <v>980</v>
      </c>
      <c r="F16" s="36">
        <f>2.5+2+2+2.25</f>
        <v>8.75</v>
      </c>
      <c r="G16" s="18">
        <f t="shared" si="15"/>
        <v>612.5</v>
      </c>
      <c r="H16" s="19">
        <v>0.75</v>
      </c>
      <c r="I16" s="6">
        <f t="shared" si="2"/>
        <v>6</v>
      </c>
      <c r="J16" s="20">
        <f t="shared" si="16"/>
        <v>3.6750000000000003</v>
      </c>
      <c r="K16" s="10">
        <v>0.33</v>
      </c>
      <c r="L16" s="10">
        <f t="shared" ref="L16" si="19">J16*K16</f>
        <v>1.2127500000000002</v>
      </c>
      <c r="M16" s="10">
        <f t="shared" si="5"/>
        <v>36.382500000000007</v>
      </c>
      <c r="N16" s="11">
        <f>M16*12</f>
        <v>436.59000000000009</v>
      </c>
      <c r="P16" s="32">
        <f>(E16/1000)*I16</f>
        <v>5.88</v>
      </c>
      <c r="Q16" s="10">
        <f>K16*(P16*365)</f>
        <v>708.24599999999998</v>
      </c>
      <c r="R16" s="11">
        <f t="shared" si="18"/>
        <v>271.65599999999989</v>
      </c>
    </row>
    <row r="17" spans="2:18" ht="15.75" thickBot="1">
      <c r="B17" s="40"/>
      <c r="C17" s="7" t="s">
        <v>25</v>
      </c>
      <c r="D17" s="25">
        <v>14</v>
      </c>
      <c r="E17" s="26">
        <f t="shared" si="14"/>
        <v>980</v>
      </c>
      <c r="F17" s="37">
        <f>2.25+2.75+4.25+3.25</f>
        <v>12.5</v>
      </c>
      <c r="G17" s="26">
        <f t="shared" si="15"/>
        <v>875</v>
      </c>
      <c r="H17" s="27">
        <v>0.75</v>
      </c>
      <c r="I17" s="7">
        <f t="shared" si="2"/>
        <v>6</v>
      </c>
      <c r="J17" s="28">
        <f>(G17/1000)*I17</f>
        <v>5.25</v>
      </c>
      <c r="K17" s="12">
        <v>0.33</v>
      </c>
      <c r="L17" s="12">
        <f t="shared" si="17"/>
        <v>1.7325000000000002</v>
      </c>
      <c r="M17" s="12">
        <f t="shared" si="5"/>
        <v>51.975000000000001</v>
      </c>
      <c r="N17" s="13">
        <f>M17*12</f>
        <v>623.70000000000005</v>
      </c>
      <c r="P17" s="33">
        <f>(E17/1000)*I17</f>
        <v>5.88</v>
      </c>
      <c r="Q17" s="12">
        <f>K17*(P17*365)</f>
        <v>708.24599999999998</v>
      </c>
      <c r="R17" s="13">
        <f t="shared" si="18"/>
        <v>84.545999999999935</v>
      </c>
    </row>
    <row r="18" spans="2:18">
      <c r="D18" s="15">
        <f>SUM(D14:D17)</f>
        <v>60</v>
      </c>
      <c r="E18" s="15">
        <f>SUM(E14:E17)</f>
        <v>4200</v>
      </c>
      <c r="F18" s="14"/>
      <c r="G18" s="15">
        <f>SUM(G14:G17)</f>
        <v>2485</v>
      </c>
      <c r="L18" s="16">
        <f>SUM(L14:L17)</f>
        <v>4.9203000000000001</v>
      </c>
      <c r="M18" s="16">
        <f>SUM(M14:M17)</f>
        <v>147.60900000000001</v>
      </c>
      <c r="N18" s="16">
        <f>SUM(N14:N17)</f>
        <v>1771.3080000000002</v>
      </c>
      <c r="P18" s="30">
        <f>SUM(P14:P17)</f>
        <v>25.2</v>
      </c>
      <c r="Q18" s="16">
        <f>SUM(Q14:Q17)</f>
        <v>3035.34</v>
      </c>
      <c r="R18" s="16">
        <f>SUM(R14:R17)</f>
        <v>1264.0319999999997</v>
      </c>
    </row>
    <row r="19" spans="2:18" ht="15.75" thickBot="1"/>
    <row r="20" spans="2:18">
      <c r="B20" s="38" t="s">
        <v>26</v>
      </c>
      <c r="C20" s="5" t="s">
        <v>27</v>
      </c>
      <c r="D20" s="21">
        <v>5</v>
      </c>
      <c r="E20" s="22">
        <f>D20*$E$3</f>
        <v>350</v>
      </c>
      <c r="F20" s="35">
        <f>1.75+0.75</f>
        <v>2.5</v>
      </c>
      <c r="G20" s="34">
        <f>$G$3*F20</f>
        <v>175</v>
      </c>
      <c r="H20" s="23">
        <v>0.75</v>
      </c>
      <c r="I20" s="5">
        <f>FLOOR(24*(1-H20),1)</f>
        <v>6</v>
      </c>
      <c r="J20" s="24">
        <f>(G20/1000)*I20</f>
        <v>1.0499999999999998</v>
      </c>
      <c r="K20" s="8">
        <v>0.33</v>
      </c>
      <c r="L20" s="8">
        <f>J20*K20</f>
        <v>0.34649999999999997</v>
      </c>
      <c r="M20" s="8">
        <f>L20*30</f>
        <v>10.395</v>
      </c>
      <c r="N20" s="9">
        <f>M20*12</f>
        <v>124.74</v>
      </c>
      <c r="P20" s="31">
        <f>(E20/1000)*I20</f>
        <v>2.0999999999999996</v>
      </c>
      <c r="Q20" s="8">
        <f>K20*(P20*365)</f>
        <v>252.94499999999996</v>
      </c>
      <c r="R20" s="9">
        <f>Q20-N20</f>
        <v>128.20499999999998</v>
      </c>
    </row>
    <row r="21" spans="2:18">
      <c r="B21" s="39"/>
      <c r="C21" s="6" t="s">
        <v>28</v>
      </c>
      <c r="D21" s="17">
        <v>32</v>
      </c>
      <c r="E21" s="18">
        <f t="shared" ref="E21:E24" si="20">D21*$E$3</f>
        <v>2240</v>
      </c>
      <c r="F21" s="36">
        <f>1.75+6+1.75+5</f>
        <v>14.5</v>
      </c>
      <c r="G21" s="18">
        <f t="shared" ref="G21:G24" si="21">$G$3*F21</f>
        <v>1015</v>
      </c>
      <c r="H21" s="19">
        <v>0.75</v>
      </c>
      <c r="I21" s="6">
        <f t="shared" si="2"/>
        <v>6</v>
      </c>
      <c r="J21" s="20">
        <f t="shared" ref="J21:J24" si="22">(G21/1000)*I21</f>
        <v>6.09</v>
      </c>
      <c r="K21" s="10">
        <v>0.33</v>
      </c>
      <c r="L21" s="10">
        <f t="shared" ref="L21:L24" si="23">J21*K21</f>
        <v>2.0097</v>
      </c>
      <c r="M21" s="10">
        <f t="shared" si="5"/>
        <v>60.291000000000004</v>
      </c>
      <c r="N21" s="11">
        <f>M21*12</f>
        <v>723.49200000000008</v>
      </c>
      <c r="P21" s="32">
        <f>(E21/1000)*I21</f>
        <v>13.440000000000001</v>
      </c>
      <c r="Q21" s="10">
        <f>K21*(P21*365)</f>
        <v>1618.8480000000002</v>
      </c>
      <c r="R21" s="11">
        <f t="shared" ref="R21:R23" si="24">Q21-N21</f>
        <v>895.35600000000011</v>
      </c>
    </row>
    <row r="22" spans="2:18">
      <c r="B22" s="39" t="s">
        <v>29</v>
      </c>
      <c r="C22" s="6" t="s">
        <v>30</v>
      </c>
      <c r="D22" s="17">
        <v>12</v>
      </c>
      <c r="E22" s="18">
        <f t="shared" si="20"/>
        <v>840</v>
      </c>
      <c r="F22" s="36">
        <f>2.5+2+2+2.25</f>
        <v>8.75</v>
      </c>
      <c r="G22" s="18">
        <f t="shared" si="21"/>
        <v>612.5</v>
      </c>
      <c r="H22" s="19">
        <v>0.75</v>
      </c>
      <c r="I22" s="6">
        <f t="shared" si="2"/>
        <v>6</v>
      </c>
      <c r="J22" s="20">
        <f t="shared" si="22"/>
        <v>3.6750000000000003</v>
      </c>
      <c r="K22" s="10">
        <v>0.33</v>
      </c>
      <c r="L22" s="10">
        <f t="shared" si="23"/>
        <v>1.2127500000000002</v>
      </c>
      <c r="M22" s="10">
        <f t="shared" si="5"/>
        <v>36.382500000000007</v>
      </c>
      <c r="N22" s="11">
        <f>M22*12</f>
        <v>436.59000000000009</v>
      </c>
      <c r="P22" s="32">
        <f>(E22/1000)*I22</f>
        <v>5.04</v>
      </c>
      <c r="Q22" s="10">
        <f>K22*(P22*365)</f>
        <v>607.06799999999998</v>
      </c>
      <c r="R22" s="11">
        <f t="shared" si="24"/>
        <v>170.47799999999989</v>
      </c>
    </row>
    <row r="23" spans="2:18">
      <c r="B23" s="39"/>
      <c r="C23" s="6" t="s">
        <v>31</v>
      </c>
      <c r="D23" s="17">
        <v>7</v>
      </c>
      <c r="E23" s="18">
        <f t="shared" si="20"/>
        <v>490</v>
      </c>
      <c r="F23" s="36">
        <f>2.5+3</f>
        <v>5.5</v>
      </c>
      <c r="G23" s="18">
        <f t="shared" si="21"/>
        <v>385</v>
      </c>
      <c r="H23" s="19">
        <v>0.75</v>
      </c>
      <c r="I23" s="6">
        <f t="shared" si="2"/>
        <v>6</v>
      </c>
      <c r="J23" s="20">
        <f t="shared" si="22"/>
        <v>2.31</v>
      </c>
      <c r="K23" s="10">
        <v>0.33</v>
      </c>
      <c r="L23" s="10">
        <f t="shared" ref="L23" si="25">J23*K23</f>
        <v>0.76230000000000009</v>
      </c>
      <c r="M23" s="10">
        <f t="shared" si="5"/>
        <v>22.869000000000003</v>
      </c>
      <c r="N23" s="11">
        <f>M23*12</f>
        <v>274.42800000000005</v>
      </c>
      <c r="P23" s="32">
        <f>(E23/1000)*I23</f>
        <v>2.94</v>
      </c>
      <c r="Q23" s="10">
        <f>K23*(P23*365)</f>
        <v>354.12299999999999</v>
      </c>
      <c r="R23" s="11">
        <f t="shared" si="24"/>
        <v>79.694999999999936</v>
      </c>
    </row>
    <row r="24" spans="2:18" ht="15.75" thickBot="1">
      <c r="B24" s="40"/>
      <c r="C24" s="7" t="s">
        <v>32</v>
      </c>
      <c r="D24" s="25">
        <v>11</v>
      </c>
      <c r="E24" s="26">
        <f t="shared" si="20"/>
        <v>770</v>
      </c>
      <c r="F24" s="37">
        <f>2.25+4.25+2.25</f>
        <v>8.75</v>
      </c>
      <c r="G24" s="26">
        <f t="shared" si="21"/>
        <v>612.5</v>
      </c>
      <c r="H24" s="27">
        <v>0.75</v>
      </c>
      <c r="I24" s="7">
        <f t="shared" si="2"/>
        <v>6</v>
      </c>
      <c r="J24" s="28">
        <f t="shared" si="22"/>
        <v>3.6750000000000003</v>
      </c>
      <c r="K24" s="12">
        <v>0.33</v>
      </c>
      <c r="L24" s="12">
        <f t="shared" si="23"/>
        <v>1.2127500000000002</v>
      </c>
      <c r="M24" s="12">
        <f t="shared" si="5"/>
        <v>36.382500000000007</v>
      </c>
      <c r="N24" s="13">
        <f>M24*12</f>
        <v>436.59000000000009</v>
      </c>
      <c r="P24" s="33">
        <f>(E24/1000)*I24</f>
        <v>4.62</v>
      </c>
      <c r="Q24" s="12">
        <f>K24*(P24*365)</f>
        <v>556.47900000000004</v>
      </c>
      <c r="R24" s="13">
        <f>Q24-N24</f>
        <v>119.88899999999995</v>
      </c>
    </row>
    <row r="25" spans="2:18">
      <c r="D25" s="15">
        <f>SUM(D20:D24)</f>
        <v>67</v>
      </c>
      <c r="E25" s="15">
        <f>SUM(E20:E24)</f>
        <v>4690</v>
      </c>
      <c r="F25" s="14"/>
      <c r="G25" s="15">
        <f>SUM(G20:G24)</f>
        <v>2800</v>
      </c>
      <c r="L25" s="16">
        <f>SUM(L20:L24)</f>
        <v>5.5440000000000005</v>
      </c>
      <c r="M25" s="16">
        <f>SUM(M20:M24)</f>
        <v>166.32000000000005</v>
      </c>
      <c r="N25" s="16">
        <f>SUM(N20:N24)</f>
        <v>1995.8400000000004</v>
      </c>
      <c r="P25" s="30">
        <f>SUM(P20:P24)</f>
        <v>28.140000000000004</v>
      </c>
      <c r="Q25" s="16">
        <f>SUM(Q20:Q24)</f>
        <v>3389.4629999999997</v>
      </c>
      <c r="R25" s="16">
        <f>SUM(R20:R24)</f>
        <v>1393.6229999999998</v>
      </c>
    </row>
    <row r="26" spans="2:18" ht="15.75" thickBot="1"/>
    <row r="27" spans="2:18">
      <c r="B27" s="38" t="s">
        <v>33</v>
      </c>
      <c r="C27" s="5" t="s">
        <v>27</v>
      </c>
      <c r="D27" s="21">
        <v>5</v>
      </c>
      <c r="E27" s="22">
        <f>D27*$E$3</f>
        <v>350</v>
      </c>
      <c r="F27" s="35">
        <f>1.75+0.75</f>
        <v>2.5</v>
      </c>
      <c r="G27" s="34">
        <f>$G$3*F27</f>
        <v>175</v>
      </c>
      <c r="H27" s="23">
        <v>0.75</v>
      </c>
      <c r="I27" s="5">
        <f>FLOOR(24*(1-H27),1)</f>
        <v>6</v>
      </c>
      <c r="J27" s="24">
        <f>(G27/1000)*I27</f>
        <v>1.0499999999999998</v>
      </c>
      <c r="K27" s="8">
        <v>0.33</v>
      </c>
      <c r="L27" s="8">
        <f>J27*K27</f>
        <v>0.34649999999999997</v>
      </c>
      <c r="M27" s="8">
        <f>L27*30</f>
        <v>10.395</v>
      </c>
      <c r="N27" s="9">
        <f>M27*12</f>
        <v>124.74</v>
      </c>
      <c r="P27" s="31">
        <f>(E27/1000)*I27</f>
        <v>2.0999999999999996</v>
      </c>
      <c r="Q27" s="8">
        <f>K27*(P27*365)</f>
        <v>252.94499999999996</v>
      </c>
      <c r="R27" s="9">
        <f>Q27-N27</f>
        <v>128.20499999999998</v>
      </c>
    </row>
    <row r="28" spans="2:18">
      <c r="B28" s="39"/>
      <c r="C28" s="6" t="s">
        <v>28</v>
      </c>
      <c r="D28" s="17">
        <v>32</v>
      </c>
      <c r="E28" s="18">
        <f t="shared" ref="E28:E31" si="26">D28*$E$3</f>
        <v>2240</v>
      </c>
      <c r="F28" s="36">
        <f>1.75+6+1.75+5</f>
        <v>14.5</v>
      </c>
      <c r="G28" s="18">
        <f t="shared" ref="G28:G31" si="27">$G$3*F28</f>
        <v>1015</v>
      </c>
      <c r="H28" s="19">
        <v>0.75</v>
      </c>
      <c r="I28" s="6">
        <f t="shared" ref="I28:I31" si="28">FLOOR(24*(1-H28),1)</f>
        <v>6</v>
      </c>
      <c r="J28" s="20">
        <f t="shared" ref="J28:J31" si="29">(G28/1000)*I28</f>
        <v>6.09</v>
      </c>
      <c r="K28" s="10">
        <v>0.33</v>
      </c>
      <c r="L28" s="10">
        <f t="shared" ref="L28:L31" si="30">J28*K28</f>
        <v>2.0097</v>
      </c>
      <c r="M28" s="10">
        <f t="shared" ref="M28:M31" si="31">L28*30</f>
        <v>60.291000000000004</v>
      </c>
      <c r="N28" s="11">
        <f>M28*12</f>
        <v>723.49200000000008</v>
      </c>
      <c r="P28" s="32">
        <f>(E28/1000)*I28</f>
        <v>13.440000000000001</v>
      </c>
      <c r="Q28" s="10">
        <f>K28*(P28*365)</f>
        <v>1618.8480000000002</v>
      </c>
      <c r="R28" s="11">
        <f t="shared" ref="R28:R30" si="32">Q28-N28</f>
        <v>895.35600000000011</v>
      </c>
    </row>
    <row r="29" spans="2:18">
      <c r="B29" s="39" t="s">
        <v>34</v>
      </c>
      <c r="C29" s="6" t="s">
        <v>30</v>
      </c>
      <c r="D29" s="17">
        <v>12</v>
      </c>
      <c r="E29" s="18">
        <f t="shared" si="26"/>
        <v>840</v>
      </c>
      <c r="F29" s="36">
        <f>2.25+2.5+2+2</f>
        <v>8.75</v>
      </c>
      <c r="G29" s="18">
        <f t="shared" si="27"/>
        <v>612.5</v>
      </c>
      <c r="H29" s="19">
        <v>0.75</v>
      </c>
      <c r="I29" s="6">
        <f t="shared" si="28"/>
        <v>6</v>
      </c>
      <c r="J29" s="20">
        <f t="shared" si="29"/>
        <v>3.6750000000000003</v>
      </c>
      <c r="K29" s="10">
        <v>0.33</v>
      </c>
      <c r="L29" s="10">
        <f t="shared" si="30"/>
        <v>1.2127500000000002</v>
      </c>
      <c r="M29" s="10">
        <f t="shared" si="31"/>
        <v>36.382500000000007</v>
      </c>
      <c r="N29" s="11">
        <f>M29*12</f>
        <v>436.59000000000009</v>
      </c>
      <c r="P29" s="32">
        <f>(E29/1000)*I29</f>
        <v>5.04</v>
      </c>
      <c r="Q29" s="10">
        <f>K29*(P29*365)</f>
        <v>607.06799999999998</v>
      </c>
      <c r="R29" s="11">
        <f t="shared" si="32"/>
        <v>170.47799999999989</v>
      </c>
    </row>
    <row r="30" spans="2:18">
      <c r="B30" s="39"/>
      <c r="C30" s="6" t="s">
        <v>31</v>
      </c>
      <c r="D30" s="17">
        <v>7</v>
      </c>
      <c r="E30" s="18">
        <f t="shared" si="26"/>
        <v>490</v>
      </c>
      <c r="F30" s="36">
        <f>2.5+3</f>
        <v>5.5</v>
      </c>
      <c r="G30" s="18">
        <f t="shared" si="27"/>
        <v>385</v>
      </c>
      <c r="H30" s="19">
        <v>0.75</v>
      </c>
      <c r="I30" s="6">
        <f t="shared" si="28"/>
        <v>6</v>
      </c>
      <c r="J30" s="20">
        <f t="shared" si="29"/>
        <v>2.31</v>
      </c>
      <c r="K30" s="10">
        <v>0.33</v>
      </c>
      <c r="L30" s="10">
        <f t="shared" si="30"/>
        <v>0.76230000000000009</v>
      </c>
      <c r="M30" s="10">
        <f t="shared" si="31"/>
        <v>22.869000000000003</v>
      </c>
      <c r="N30" s="11">
        <f>M30*12</f>
        <v>274.42800000000005</v>
      </c>
      <c r="P30" s="32">
        <f>(E30/1000)*I30</f>
        <v>2.94</v>
      </c>
      <c r="Q30" s="10">
        <f>K30*(P30*365)</f>
        <v>354.12299999999999</v>
      </c>
      <c r="R30" s="11">
        <f t="shared" si="32"/>
        <v>79.694999999999936</v>
      </c>
    </row>
    <row r="31" spans="2:18" ht="15.75" thickBot="1">
      <c r="B31" s="40"/>
      <c r="C31" s="7" t="s">
        <v>32</v>
      </c>
      <c r="D31" s="25">
        <v>11</v>
      </c>
      <c r="E31" s="26">
        <f t="shared" si="26"/>
        <v>770</v>
      </c>
      <c r="F31" s="37">
        <f>2.25+4.25+2.25</f>
        <v>8.75</v>
      </c>
      <c r="G31" s="26">
        <f t="shared" si="27"/>
        <v>612.5</v>
      </c>
      <c r="H31" s="27">
        <v>0.75</v>
      </c>
      <c r="I31" s="7">
        <f t="shared" si="28"/>
        <v>6</v>
      </c>
      <c r="J31" s="28">
        <f t="shared" si="29"/>
        <v>3.6750000000000003</v>
      </c>
      <c r="K31" s="12">
        <v>0.33</v>
      </c>
      <c r="L31" s="12">
        <f t="shared" si="30"/>
        <v>1.2127500000000002</v>
      </c>
      <c r="M31" s="12">
        <f t="shared" si="31"/>
        <v>36.382500000000007</v>
      </c>
      <c r="N31" s="13">
        <f>M31*12</f>
        <v>436.59000000000009</v>
      </c>
      <c r="P31" s="33">
        <f>(E31/1000)*I31</f>
        <v>4.62</v>
      </c>
      <c r="Q31" s="12">
        <f>K31*(P31*365)</f>
        <v>556.47900000000004</v>
      </c>
      <c r="R31" s="13">
        <f>Q31-N31</f>
        <v>119.88899999999995</v>
      </c>
    </row>
    <row r="32" spans="2:18">
      <c r="D32" s="15">
        <f>SUM(D27:D31)</f>
        <v>67</v>
      </c>
      <c r="E32" s="15">
        <f>SUM(E27:E31)</f>
        <v>4690</v>
      </c>
      <c r="F32" s="14"/>
      <c r="G32" s="15">
        <f>SUM(G27:G31)</f>
        <v>2800</v>
      </c>
      <c r="L32" s="16">
        <f>SUM(L27:L31)</f>
        <v>5.5440000000000005</v>
      </c>
      <c r="M32" s="16">
        <f>SUM(M27:M31)</f>
        <v>166.32000000000005</v>
      </c>
      <c r="N32" s="16">
        <f>SUM(N27:N31)</f>
        <v>1995.8400000000004</v>
      </c>
      <c r="P32" s="30">
        <f>SUM(P27:P31)</f>
        <v>28.140000000000004</v>
      </c>
      <c r="Q32" s="16">
        <f>SUM(Q27:Q31)</f>
        <v>3389.4629999999997</v>
      </c>
      <c r="R32" s="16">
        <f>SUM(R27:R31)</f>
        <v>1393.6229999999998</v>
      </c>
    </row>
  </sheetData>
  <mergeCells count="8">
    <mergeCell ref="B4:B6"/>
    <mergeCell ref="B9:B11"/>
    <mergeCell ref="B27:B28"/>
    <mergeCell ref="B29:B31"/>
    <mergeCell ref="B16:B17"/>
    <mergeCell ref="B14:B15"/>
    <mergeCell ref="B22:B24"/>
    <mergeCell ref="B20:B21"/>
  </mergeCells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242527-e5df-4ebf-9981-048673e7edbe" xsi:nil="true"/>
    <lcf76f155ced4ddcb4097134ff3c332f xmlns="d490ab57-3f47-4abc-9f35-ce79984aa8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EF9D4969C85438F1BE2259370EF13" ma:contentTypeVersion="13" ma:contentTypeDescription="Create a new document." ma:contentTypeScope="" ma:versionID="6df9cdb041c9ff52f91a8d0b3248ebd5">
  <xsd:schema xmlns:xsd="http://www.w3.org/2001/XMLSchema" xmlns:xs="http://www.w3.org/2001/XMLSchema" xmlns:p="http://schemas.microsoft.com/office/2006/metadata/properties" xmlns:ns2="d490ab57-3f47-4abc-9f35-ce79984aa86d" xmlns:ns3="ce242527-e5df-4ebf-9981-048673e7edbe" targetNamespace="http://schemas.microsoft.com/office/2006/metadata/properties" ma:root="true" ma:fieldsID="c275f5a410e6e7708a0ee69cae180c07" ns2:_="" ns3:_="">
    <xsd:import namespace="d490ab57-3f47-4abc-9f35-ce79984aa86d"/>
    <xsd:import namespace="ce242527-e5df-4ebf-9981-048673e7ed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0ab57-3f47-4abc-9f35-ce79984aa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e7f4262-7d5c-4abd-a5b7-50b94306cd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42527-e5df-4ebf-9981-048673e7edb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9dd289d-e208-4c65-8c09-c62eadd14df1}" ma:internalName="TaxCatchAll" ma:showField="CatchAllData" ma:web="ce242527-e5df-4ebf-9981-048673e7ed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30DB2F-0BD0-49F0-A976-3D3A55418CC9}"/>
</file>

<file path=customXml/itemProps2.xml><?xml version="1.0" encoding="utf-8"?>
<ds:datastoreItem xmlns:ds="http://schemas.openxmlformats.org/officeDocument/2006/customXml" ds:itemID="{D7BD9479-545B-4CA3-95CB-EC49470BD985}"/>
</file>

<file path=customXml/itemProps3.xml><?xml version="1.0" encoding="utf-8"?>
<ds:datastoreItem xmlns:ds="http://schemas.openxmlformats.org/officeDocument/2006/customXml" ds:itemID="{0B2C75E9-C3AE-4F09-BCE7-4B16A0A02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Eastwood</dc:creator>
  <cp:keywords/>
  <dc:description/>
  <cp:lastModifiedBy>Joe Eastwood</cp:lastModifiedBy>
  <cp:revision/>
  <dcterms:created xsi:type="dcterms:W3CDTF">2023-03-03T07:17:35Z</dcterms:created>
  <dcterms:modified xsi:type="dcterms:W3CDTF">2025-03-26T22:51:16Z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0x010100B21EF9D4969C85438F1BE2259370EF13</vt:lpwstr>
  </property>
  <property fmtid="{D5CDD505-2E9C-101B-9397-08002B2CF9AE}" pid="3" name="MediaServiceImageTags">
    <vt:lpwstr/>
  </property>
</Properties>
</file>